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indiana-my.sharepoint.com/personal/sobhatia_iu_edu/Documents/Finance/"/>
    </mc:Choice>
  </mc:AlternateContent>
  <xr:revisionPtr revIDLastSave="442" documentId="8_{0520325C-DCA4-4921-A790-6001ECB70035}" xr6:coauthVersionLast="47" xr6:coauthVersionMax="47" xr10:uidLastSave="{1F652AD5-D950-4E8D-9667-47710C153492}"/>
  <bookViews>
    <workbookView xWindow="-120" yWindow="-120" windowWidth="38640" windowHeight="21120" xr2:uid="{111F9304-C597-4BBC-A695-A7996E3678E0}"/>
  </bookViews>
  <sheets>
    <sheet name="HF" sheetId="1" r:id="rId1"/>
    <sheet name="MF" sheetId="3" r:id="rId2"/>
    <sheet name="IB" sheetId="4" r:id="rId3"/>
    <sheet name="PE" sheetId="2" r:id="rId4"/>
    <sheet name="Research" sheetId="5" r:id="rId5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1" l="1"/>
  <c r="B29" i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5" i="4"/>
  <c r="B6" i="4"/>
  <c r="B7" i="4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5" i="5"/>
  <c r="B6" i="5"/>
  <c r="B7" i="5" s="1"/>
  <c r="B8" i="5" s="1"/>
  <c r="B9" i="5" s="1"/>
  <c r="B10" i="5" s="1"/>
  <c r="B11" i="5" s="1"/>
  <c r="B12" i="5" s="1"/>
  <c r="B4" i="5"/>
  <c r="E37" i="1" l="1"/>
  <c r="B4" i="2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4" i="4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tc={40D85076-DA5B-4434-9AF7-AFE48B7407A4}</author>
    <author>tc={900CCAD1-0205-4960-8EA2-73F0D86997E6}</author>
    <author>tc={2B251C99-A9FA-499C-A7D3-28A85213A343}</author>
  </authors>
  <commentList>
    <comment ref="E5" authorId="0" shapeId="0" xr:uid="{40D85076-DA5B-4434-9AF7-AFE48B7407A4}">
      <text>
        <t>[Threaded comment]
Your version of Excel allows you to read this threaded comment; however, any edits to it will get removed if the file is opened in a newer version of Excel. Learn more: https://go.microsoft.com/fwlink/?linkid=870924
Comment:
    As of 2021</t>
      </text>
    </comment>
    <comment ref="F18" authorId="1" shapeId="0" xr:uid="{900CCAD1-0205-4960-8EA2-73F0D86997E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After Herbalife, no more Short Selling. </t>
      </text>
    </comment>
    <comment ref="E32" authorId="2" shapeId="0" xr:uid="{2B251C99-A9FA-499C-A7D3-28A85213A34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Highest HF fund raising since 2018, Exodus Point. </t>
      </text>
    </comment>
  </commentList>
</comments>
</file>

<file path=xl/sharedStrings.xml><?xml version="1.0" encoding="utf-8"?>
<sst xmlns="http://schemas.openxmlformats.org/spreadsheetml/2006/main" count="245" uniqueCount="197">
  <si>
    <t>Name</t>
  </si>
  <si>
    <t>Manager</t>
  </si>
  <si>
    <t xml:space="preserve">AUM </t>
  </si>
  <si>
    <t xml:space="preserve">Berkshire Hathaway </t>
  </si>
  <si>
    <t xml:space="preserve">Citadel </t>
  </si>
  <si>
    <t xml:space="preserve">Millenium </t>
  </si>
  <si>
    <t xml:space="preserve">Jane Street </t>
  </si>
  <si>
    <t xml:space="preserve">Bridgewater Associates </t>
  </si>
  <si>
    <t>DE Shaw</t>
  </si>
  <si>
    <t>AQR</t>
  </si>
  <si>
    <t>Point72</t>
  </si>
  <si>
    <t xml:space="preserve">Steve Cohen </t>
  </si>
  <si>
    <t>Ken Griffin</t>
  </si>
  <si>
    <t>Tim Reynolds</t>
  </si>
  <si>
    <t>Ray Dalio</t>
  </si>
  <si>
    <t>Cliff Assness</t>
  </si>
  <si>
    <t>David Shaw</t>
  </si>
  <si>
    <t>Dmitri Balyasny</t>
  </si>
  <si>
    <t xml:space="preserve">BAM </t>
  </si>
  <si>
    <t>Paul Singer</t>
  </si>
  <si>
    <t xml:space="preserve">Ren Tech </t>
  </si>
  <si>
    <t>Pershing Square</t>
  </si>
  <si>
    <t xml:space="preserve">Bill Ackman </t>
  </si>
  <si>
    <t>Soros</t>
  </si>
  <si>
    <t>George Soros</t>
  </si>
  <si>
    <t xml:space="preserve">Third Point </t>
  </si>
  <si>
    <t>HQ</t>
  </si>
  <si>
    <t>Founded</t>
  </si>
  <si>
    <t>Dan Loeb</t>
  </si>
  <si>
    <t>Omaha, NE</t>
  </si>
  <si>
    <t>Pentwater</t>
  </si>
  <si>
    <t xml:space="preserve">Miami, FL </t>
  </si>
  <si>
    <t xml:space="preserve">Fort L, FL </t>
  </si>
  <si>
    <t xml:space="preserve">NYC </t>
  </si>
  <si>
    <t xml:space="preserve">Westport, CT </t>
  </si>
  <si>
    <t>Greenwich, CT</t>
  </si>
  <si>
    <t xml:space="preserve">Stamford, CT </t>
  </si>
  <si>
    <t xml:space="preserve">Setauket, NY </t>
  </si>
  <si>
    <t xml:space="preserve">Naples, FL </t>
  </si>
  <si>
    <t>Matt Halbower</t>
  </si>
  <si>
    <t xml:space="preserve">Event Driven </t>
  </si>
  <si>
    <t>Quant, Stat Arb</t>
  </si>
  <si>
    <t>Q123</t>
  </si>
  <si>
    <t>Q223</t>
  </si>
  <si>
    <t>Q323</t>
  </si>
  <si>
    <t>Q423</t>
  </si>
  <si>
    <t>Q124</t>
  </si>
  <si>
    <t>Q324</t>
  </si>
  <si>
    <t>Q424</t>
  </si>
  <si>
    <t>Q125</t>
  </si>
  <si>
    <t>Q224</t>
  </si>
  <si>
    <t xml:space="preserve">Magnetar Capital </t>
  </si>
  <si>
    <t>Alec Litowitz</t>
  </si>
  <si>
    <t>Strategy</t>
  </si>
  <si>
    <t xml:space="preserve">Chicago, IL </t>
  </si>
  <si>
    <t>Viking Global</t>
  </si>
  <si>
    <t xml:space="preserve">Pine River Capital </t>
  </si>
  <si>
    <t>Chase Coleman III</t>
  </si>
  <si>
    <t>Q225</t>
  </si>
  <si>
    <t xml:space="preserve">GreenOaks Capital </t>
  </si>
  <si>
    <t>Vulcun Value Partners</t>
  </si>
  <si>
    <t>QRT</t>
  </si>
  <si>
    <t xml:space="preserve">Greenlight Capital </t>
  </si>
  <si>
    <t>David Einhorn</t>
  </si>
  <si>
    <t xml:space="preserve">L/S </t>
  </si>
  <si>
    <t xml:space="preserve">D1 Capital </t>
  </si>
  <si>
    <t>Daniel Sudheim</t>
  </si>
  <si>
    <t>Paul Tudor Jones</t>
  </si>
  <si>
    <t>David Tepper</t>
  </si>
  <si>
    <t xml:space="preserve">Li Lu </t>
  </si>
  <si>
    <t xml:space="preserve">Appaloosa Capital </t>
  </si>
  <si>
    <t>Tudor Investments</t>
  </si>
  <si>
    <t>Himalaya Capital</t>
  </si>
  <si>
    <t>Jim Simmons</t>
  </si>
  <si>
    <t>Avenue Capital Group</t>
  </si>
  <si>
    <t xml:space="preserve">Exodus Point Capital </t>
  </si>
  <si>
    <t>Jain Global</t>
  </si>
  <si>
    <t xml:space="preserve">LO </t>
  </si>
  <si>
    <t>Multi-Strat</t>
  </si>
  <si>
    <t>Mark Nasry, Sonia Gardner</t>
  </si>
  <si>
    <t>Warren, Charlie</t>
  </si>
  <si>
    <t>Q325</t>
  </si>
  <si>
    <t xml:space="preserve">Distressed </t>
  </si>
  <si>
    <t>Distressed</t>
  </si>
  <si>
    <t>CEO</t>
  </si>
  <si>
    <t xml:space="preserve">JPM </t>
  </si>
  <si>
    <t xml:space="preserve">GS </t>
  </si>
  <si>
    <t xml:space="preserve">Wells Fargo </t>
  </si>
  <si>
    <t xml:space="preserve">Evercore </t>
  </si>
  <si>
    <t xml:space="preserve">Guggenheim </t>
  </si>
  <si>
    <t xml:space="preserve">PJT Partners </t>
  </si>
  <si>
    <t xml:space="preserve">Akre Capital </t>
  </si>
  <si>
    <t>Chuck Akre</t>
  </si>
  <si>
    <t xml:space="preserve">Blackstone </t>
  </si>
  <si>
    <t xml:space="preserve">KKR </t>
  </si>
  <si>
    <t xml:space="preserve">EQT </t>
  </si>
  <si>
    <t>Thoma Bravo</t>
  </si>
  <si>
    <t xml:space="preserve">Name </t>
  </si>
  <si>
    <t xml:space="preserve">CEO </t>
  </si>
  <si>
    <t>Total Number of Funds around the World - 5545</t>
  </si>
  <si>
    <t>Macro</t>
  </si>
  <si>
    <t>Israel Englander</t>
  </si>
  <si>
    <t>Pierre-Yves Morlat</t>
  </si>
  <si>
    <t>Flagship Fund</t>
  </si>
  <si>
    <t>TP Offshore</t>
  </si>
  <si>
    <t>Pershing Square Holdings</t>
  </si>
  <si>
    <t xml:space="preserve">Medallion </t>
  </si>
  <si>
    <t>Quant</t>
  </si>
  <si>
    <t xml:space="preserve">John Overdeck </t>
  </si>
  <si>
    <t>Bobby Jain</t>
  </si>
  <si>
    <t xml:space="preserve">Icahn Capital </t>
  </si>
  <si>
    <t xml:space="preserve">Carl Icahn </t>
  </si>
  <si>
    <t xml:space="preserve">Michael Gelband </t>
  </si>
  <si>
    <t xml:space="preserve">Activist </t>
  </si>
  <si>
    <t>x</t>
  </si>
  <si>
    <t xml:space="preserve"> </t>
  </si>
  <si>
    <t xml:space="preserve">Brigade Capital </t>
  </si>
  <si>
    <t>Donald E. Morgan, III, CFA</t>
  </si>
  <si>
    <t xml:space="preserve">Credit </t>
  </si>
  <si>
    <t xml:space="preserve">TPG </t>
  </si>
  <si>
    <t>Avenue Capital</t>
  </si>
  <si>
    <t xml:space="preserve">Silverlake </t>
  </si>
  <si>
    <t>Ole Andreas Halvorsen</t>
  </si>
  <si>
    <t>Tiger Global Managem.</t>
  </si>
  <si>
    <t>Two Sigma</t>
  </si>
  <si>
    <t xml:space="preserve">Elliot Management </t>
  </si>
  <si>
    <t>Citibank</t>
  </si>
  <si>
    <t xml:space="preserve">Ducera </t>
  </si>
  <si>
    <t>Joel Greenblatt</t>
  </si>
  <si>
    <t xml:space="preserve">Gotham Capital </t>
  </si>
  <si>
    <t>L/S</t>
  </si>
  <si>
    <t xml:space="preserve">Event Driven, L/S </t>
  </si>
  <si>
    <t xml:space="preserve">Coatue Management </t>
  </si>
  <si>
    <t>Philippe Laffont</t>
  </si>
  <si>
    <t>NYC</t>
  </si>
  <si>
    <t>L/S, Macro</t>
  </si>
  <si>
    <t xml:space="preserve">Brevan Howard </t>
  </si>
  <si>
    <t xml:space="preserve">Marshall Wace </t>
  </si>
  <si>
    <t xml:space="preserve">Chris Hohn </t>
  </si>
  <si>
    <t xml:space="preserve">Ian Wace, Paul Marshall </t>
  </si>
  <si>
    <t xml:space="preserve">Chris Rokos </t>
  </si>
  <si>
    <t xml:space="preserve">Alan Howard </t>
  </si>
  <si>
    <t xml:space="preserve">Macro </t>
  </si>
  <si>
    <t xml:space="preserve">London </t>
  </si>
  <si>
    <t>Notes</t>
  </si>
  <si>
    <t xml:space="preserve">WSJ Article </t>
  </si>
  <si>
    <t xml:space="preserve">TCI Fund </t>
  </si>
  <si>
    <t xml:space="preserve">Rokos Capital </t>
  </si>
  <si>
    <t>Florida</t>
  </si>
  <si>
    <t xml:space="preserve">Blue Crest Capital </t>
  </si>
  <si>
    <t xml:space="preserve">Chris Platt </t>
  </si>
  <si>
    <t xml:space="preserve">Fixed Income </t>
  </si>
  <si>
    <t>CVC Partners</t>
  </si>
  <si>
    <t xml:space="preserve">Bain Capital </t>
  </si>
  <si>
    <t xml:space="preserve">TD Securities </t>
  </si>
  <si>
    <t xml:space="preserve">Founded </t>
  </si>
  <si>
    <t xml:space="preserve">Specialty </t>
  </si>
  <si>
    <t xml:space="preserve">Tech </t>
  </si>
  <si>
    <t xml:space="preserve">Brookfield </t>
  </si>
  <si>
    <t>Shwarazmann</t>
  </si>
  <si>
    <t xml:space="preserve">RBC </t>
  </si>
  <si>
    <t>Houlihan Lowkey</t>
  </si>
  <si>
    <t>Jefferies</t>
  </si>
  <si>
    <t>Centerbridge Partners</t>
  </si>
  <si>
    <t xml:space="preserve">Redbird Capital </t>
  </si>
  <si>
    <t>Duquesne Capital</t>
  </si>
  <si>
    <t>Stanley Druckenmiller</t>
  </si>
  <si>
    <t>1981-2010</t>
  </si>
  <si>
    <t>Piper Sandler</t>
  </si>
  <si>
    <t xml:space="preserve">Industry </t>
  </si>
  <si>
    <t xml:space="preserve">Evercore ISI </t>
  </si>
  <si>
    <t xml:space="preserve">Head </t>
  </si>
  <si>
    <t xml:space="preserve">MS </t>
  </si>
  <si>
    <t xml:space="preserve">David Solomon </t>
  </si>
  <si>
    <t xml:space="preserve">BV </t>
  </si>
  <si>
    <t xml:space="preserve">Lone Pine Capital </t>
  </si>
  <si>
    <t>Wellington Management</t>
  </si>
  <si>
    <t>LO</t>
  </si>
  <si>
    <t>Leopold Aschenbrenner</t>
  </si>
  <si>
    <t>AI Driven</t>
  </si>
  <si>
    <t>SF, CA</t>
  </si>
  <si>
    <t xml:space="preserve">Situational Awareness LP </t>
  </si>
  <si>
    <t xml:space="preserve">T Rowe Price </t>
  </si>
  <si>
    <t xml:space="preserve">Vangaurd </t>
  </si>
  <si>
    <t>Baupost Group</t>
  </si>
  <si>
    <t xml:space="preserve">Seth Klarman </t>
  </si>
  <si>
    <t xml:space="preserve">Boston, MA </t>
  </si>
  <si>
    <t xml:space="preserve">Maverick Capital </t>
  </si>
  <si>
    <t>Lee Ainslie</t>
  </si>
  <si>
    <t xml:space="preserve">Dallas, TX </t>
  </si>
  <si>
    <t xml:space="preserve">Oaktree Capital </t>
  </si>
  <si>
    <t>Howard S. Marks</t>
  </si>
  <si>
    <t xml:space="preserve">Distressed Assets </t>
  </si>
  <si>
    <t xml:space="preserve">SilverPoint Capital </t>
  </si>
  <si>
    <t>Surgocap Partners</t>
  </si>
  <si>
    <t>Mala Gaonkar</t>
  </si>
  <si>
    <t>Value-ish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</si>
</sst>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#,##0.0"/>
  </numFmts>
  <fonts count="9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0"/>
      <color theme="10"/>
      <name val="Arial"/>
      <family val="2"/>
    </font>
    <font>
      <i/>
      <strike/>
      <sz val="10"/>
      <color theme="1"/>
      <name val="Arial"/>
      <family val="2"/>
    </font>
    <font>
      <strike/>
      <sz val="10"/>
      <color theme="1"/>
      <name val="Arial"/>
      <family val="2"/>
    </font>
    <font>
      <i/>
      <sz val="10"/>
      <color rgb="FFFF0000"/>
      <name val="Arial"/>
      <family val="2"/>
    </font>
    <font>
      <i/>
      <u/>
      <sz val="10"/>
      <color rgb="FFFF0000"/>
      <name val="Arial"/>
      <family val="2"/>
    </font>
    <font>
      <i/>
      <strike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7" fontId="0" fillId="0" borderId="0" xfId="0" applyNumberFormat="1" applyAlignment="1">
      <alignment horizontal="right"/>
    </xf>
    <xf numFmtId="0" fontId="2" fillId="2" borderId="0" xfId="0" applyFont="1" applyFill="1"/>
    <xf numFmtId="0" fontId="3" fillId="0" borderId="0" xfId="1"/>
    <xf numFmtId="0" fontId="4" fillId="0" borderId="0" xfId="0" applyFont="1"/>
    <xf numFmtId="0" fontId="5" fillId="0" borderId="0" xfId="0" applyFont="1"/>
    <xf numFmtId="7" fontId="5" fillId="0" borderId="0" xfId="0" applyNumberFormat="1" applyFont="1" applyAlignment="1">
      <alignment horizontal="right"/>
    </xf>
    <xf numFmtId="164" fontId="0" fillId="0" borderId="0" xfId="0" applyNumberFormat="1"/>
    <xf numFmtId="0" fontId="6" fillId="0" borderId="0" xfId="0" applyFont="1"/>
    <xf numFmtId="0" fontId="7" fillId="0" borderId="0" xfId="1" applyFont="1"/>
    <xf numFmtId="0" fontId="8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hatia, Soham" id="{3B7E07FA-290D-4BDD-BE79-531C87267BF9}" userId="S::sobhatia@iu.edu::31b18c57-9fba-4d49-aec3-f0fa999dbffe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5" dT="2025-07-07T18:26:37.41" personId="{3B7E07FA-290D-4BDD-BE79-531C87267BF9}" id="{40D85076-DA5B-4434-9AF7-AFE48B7407A4}">
    <text>As of 2021</text>
  </threadedComment>
  <threadedComment ref="F18" dT="2025-08-06T01:45:36.30" personId="{3B7E07FA-290D-4BDD-BE79-531C87267BF9}" id="{900CCAD1-0205-4960-8EA2-73F0D86997E6}">
    <text xml:space="preserve">After Herbalife, no more Short Selling. </text>
  </threadedComment>
  <threadedComment ref="E32" dT="2025-07-07T12:21:10.45" personId="{3B7E07FA-290D-4BDD-BE79-531C87267BF9}" id="{2B251C99-A9FA-499C-A7D3-28A85213A343}">
    <text xml:space="preserve">Highest HF fund raising since 2018, Exodus Point. 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udorfunds.com/home" TargetMode="External"/><Relationship Id="rId13" Type="http://schemas.openxmlformats.org/officeDocument/2006/relationships/hyperlink" Target="https://gotham.com/" TargetMode="External"/><Relationship Id="rId18" Type="http://schemas.openxmlformats.org/officeDocument/2006/relationships/hyperlink" Target="https://www.tcifund.com/" TargetMode="External"/><Relationship Id="rId26" Type="http://schemas.microsoft.com/office/2017/10/relationships/threadedComment" Target="../threadedComments/threadedComment1.xml"/><Relationship Id="rId3" Type="http://schemas.openxmlformats.org/officeDocument/2006/relationships/hyperlink" Target="https://www.mlp.com/" TargetMode="External"/><Relationship Id="rId21" Type="http://schemas.openxmlformats.org/officeDocument/2006/relationships/hyperlink" Target="https://www.oaktreecapital.com/insights" TargetMode="External"/><Relationship Id="rId7" Type="http://schemas.openxmlformats.org/officeDocument/2006/relationships/hyperlink" Target="https://www.ielp.com/" TargetMode="External"/><Relationship Id="rId12" Type="http://schemas.openxmlformats.org/officeDocument/2006/relationships/hyperlink" Target="https://www.twosigma.com/" TargetMode="External"/><Relationship Id="rId17" Type="http://schemas.openxmlformats.org/officeDocument/2006/relationships/hyperlink" Target="https://www.wsj.com/finance/investing/the-billionaire-odd-couple-whose-hedge-fund-is-killing-it-ed48da3a" TargetMode="External"/><Relationship Id="rId25" Type="http://schemas.openxmlformats.org/officeDocument/2006/relationships/comments" Target="../comments1.xml"/><Relationship Id="rId2" Type="http://schemas.openxmlformats.org/officeDocument/2006/relationships/hyperlink" Target="https://www.bamfunds.com/" TargetMode="External"/><Relationship Id="rId16" Type="http://schemas.openxmlformats.org/officeDocument/2006/relationships/hyperlink" Target="https://www.mwam.com/" TargetMode="External"/><Relationship Id="rId20" Type="http://schemas.openxmlformats.org/officeDocument/2006/relationships/hyperlink" Target="https://situational-awareness.ai/" TargetMode="External"/><Relationship Id="rId1" Type="http://schemas.openxmlformats.org/officeDocument/2006/relationships/hyperlink" Target="https://www.thirdpoint.com/" TargetMode="External"/><Relationship Id="rId6" Type="http://schemas.openxmlformats.org/officeDocument/2006/relationships/hyperlink" Target="https://www.berkshirehathaway.com/" TargetMode="External"/><Relationship Id="rId11" Type="http://schemas.openxmlformats.org/officeDocument/2006/relationships/hyperlink" Target="https://www.akrecapital.com/" TargetMode="External"/><Relationship Id="rId24" Type="http://schemas.openxmlformats.org/officeDocument/2006/relationships/vmlDrawing" Target="../drawings/vmlDrawing1.vml"/><Relationship Id="rId5" Type="http://schemas.openxmlformats.org/officeDocument/2006/relationships/hyperlink" Target="https://www.citadel.com/" TargetMode="External"/><Relationship Id="rId15" Type="http://schemas.openxmlformats.org/officeDocument/2006/relationships/hyperlink" Target="https://www.tigerglobal.com/" TargetMode="External"/><Relationship Id="rId23" Type="http://schemas.openxmlformats.org/officeDocument/2006/relationships/hyperlink" Target="%60" TargetMode="External"/><Relationship Id="rId10" Type="http://schemas.openxmlformats.org/officeDocument/2006/relationships/hyperlink" Target="https://vikingglobal.com/" TargetMode="External"/><Relationship Id="rId19" Type="http://schemas.openxmlformats.org/officeDocument/2006/relationships/hyperlink" Target="https://www.elliottmgmt.com/" TargetMode="External"/><Relationship Id="rId4" Type="http://schemas.openxmlformats.org/officeDocument/2006/relationships/hyperlink" Target="https://point72.com/" TargetMode="External"/><Relationship Id="rId9" Type="http://schemas.openxmlformats.org/officeDocument/2006/relationships/hyperlink" Target="https://www.brigadecapital.com/" TargetMode="External"/><Relationship Id="rId14" Type="http://schemas.openxmlformats.org/officeDocument/2006/relationships/hyperlink" Target="https://www.tigerglobal.com/" TargetMode="External"/><Relationship Id="rId22" Type="http://schemas.openxmlformats.org/officeDocument/2006/relationships/hyperlink" Target="https://en.wikipedia.org/wiki/Maverick_Capita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138D-51F8-401D-AF53-28413728EA7F}">
  <dimension ref="A1:U62"/>
  <sheetViews>
    <sheetView tabSelected="1" zoomScale="115" zoomScaleNormal="115" workbookViewId="0">
      <pane xSplit="3" ySplit="3" topLeftCell="D12" activePane="bottomRight" state="frozen"/>
      <selection pane="topRight" activeCell="D1" sqref="D1"/>
      <selection pane="bottomLeft" activeCell="A4" sqref="A4"/>
      <selection pane="bottomRight" activeCell="I1" sqref="I1"/>
    </sheetView>
  </sheetViews>
  <sheetFormatPr defaultRowHeight="12.75" x14ac:dyDescent="0.2"/>
  <cols>
    <col min="1" max="1" width="1.5703125" style="2" customWidth="1"/>
    <col min="3" max="3" width="31.140625" customWidth="1"/>
    <col min="4" max="4" width="23.140625" customWidth="1"/>
    <col min="5" max="5" width="13.85546875" style="3" bestFit="1" customWidth="1"/>
    <col min="6" max="6" width="16.42578125" bestFit="1" customWidth="1"/>
    <col min="7" max="7" width="22.85546875" style="3" customWidth="1"/>
    <col min="8" max="8" width="13.28515625" bestFit="1" customWidth="1"/>
    <col min="21" max="21" width="9.140625" style="10"/>
  </cols>
  <sheetData>
    <row r="1" spans="1:21" x14ac:dyDescent="0.2">
      <c r="C1" s="2" t="s">
        <v>99</v>
      </c>
      <c r="E1" s="1"/>
      <c r="G1" s="1"/>
      <c r="U1"/>
    </row>
    <row r="2" spans="1:21" x14ac:dyDescent="0.2">
      <c r="E2"/>
      <c r="G2"/>
      <c r="U2"/>
    </row>
    <row r="3" spans="1:21" x14ac:dyDescent="0.2">
      <c r="C3" t="s">
        <v>0</v>
      </c>
      <c r="D3" t="s">
        <v>1</v>
      </c>
      <c r="E3" t="s">
        <v>2</v>
      </c>
      <c r="F3" t="s">
        <v>53</v>
      </c>
      <c r="G3" t="s">
        <v>103</v>
      </c>
      <c r="H3" t="s">
        <v>26</v>
      </c>
      <c r="I3" t="s">
        <v>27</v>
      </c>
      <c r="J3" s="1" t="s">
        <v>42</v>
      </c>
      <c r="K3" s="1" t="s">
        <v>43</v>
      </c>
      <c r="L3" s="1" t="s">
        <v>44</v>
      </c>
      <c r="M3" s="1" t="s">
        <v>45</v>
      </c>
      <c r="N3" s="1" t="s">
        <v>46</v>
      </c>
      <c r="O3" s="1" t="s">
        <v>50</v>
      </c>
      <c r="P3" s="1" t="s">
        <v>47</v>
      </c>
      <c r="Q3" s="1" t="s">
        <v>48</v>
      </c>
      <c r="R3" s="1" t="s">
        <v>49</v>
      </c>
      <c r="S3" s="1" t="s">
        <v>58</v>
      </c>
      <c r="T3" s="1" t="s">
        <v>81</v>
      </c>
      <c r="U3" t="s">
        <v>144</v>
      </c>
    </row>
    <row r="4" spans="1:21" x14ac:dyDescent="0.2">
      <c r="B4">
        <v>1</v>
      </c>
      <c r="C4" s="5" t="s">
        <v>3</v>
      </c>
      <c r="D4" t="s">
        <v>80</v>
      </c>
      <c r="E4" s="3">
        <v>258700</v>
      </c>
      <c r="F4" t="s">
        <v>77</v>
      </c>
      <c r="H4" t="s">
        <v>29</v>
      </c>
      <c r="I4">
        <v>1965</v>
      </c>
    </row>
    <row r="5" spans="1:21" x14ac:dyDescent="0.2">
      <c r="B5">
        <f>+B4+1</f>
        <v>2</v>
      </c>
      <c r="C5" t="s">
        <v>20</v>
      </c>
      <c r="D5" t="s">
        <v>73</v>
      </c>
      <c r="E5" s="3">
        <v>106000</v>
      </c>
      <c r="F5" t="s">
        <v>41</v>
      </c>
      <c r="G5" s="3" t="s">
        <v>106</v>
      </c>
      <c r="H5" t="s">
        <v>37</v>
      </c>
      <c r="I5">
        <v>1978</v>
      </c>
    </row>
    <row r="6" spans="1:21" x14ac:dyDescent="0.2">
      <c r="A6" s="4" t="s">
        <v>114</v>
      </c>
      <c r="B6">
        <f t="shared" ref="B6:B62" si="0">+B5+1</f>
        <v>3</v>
      </c>
      <c r="C6" s="5" t="s">
        <v>10</v>
      </c>
      <c r="D6" t="s">
        <v>11</v>
      </c>
      <c r="E6" s="3">
        <v>37700</v>
      </c>
      <c r="F6" t="s">
        <v>78</v>
      </c>
      <c r="H6" t="s">
        <v>36</v>
      </c>
      <c r="I6">
        <v>2014</v>
      </c>
    </row>
    <row r="7" spans="1:21" x14ac:dyDescent="0.2">
      <c r="A7" s="4" t="s">
        <v>114</v>
      </c>
      <c r="B7">
        <f t="shared" si="0"/>
        <v>4</v>
      </c>
      <c r="C7" s="5" t="s">
        <v>4</v>
      </c>
      <c r="D7" t="s">
        <v>12</v>
      </c>
      <c r="E7" s="3">
        <v>66000</v>
      </c>
      <c r="F7" t="s">
        <v>78</v>
      </c>
      <c r="H7" t="s">
        <v>31</v>
      </c>
      <c r="I7">
        <v>1990</v>
      </c>
    </row>
    <row r="8" spans="1:21" x14ac:dyDescent="0.2">
      <c r="A8" s="4" t="s">
        <v>114</v>
      </c>
      <c r="B8">
        <f t="shared" si="0"/>
        <v>5</v>
      </c>
      <c r="C8" s="5" t="s">
        <v>5</v>
      </c>
      <c r="D8" t="s">
        <v>101</v>
      </c>
      <c r="E8" s="3">
        <v>77000</v>
      </c>
      <c r="F8" t="s">
        <v>78</v>
      </c>
      <c r="H8" t="s">
        <v>32</v>
      </c>
      <c r="I8">
        <v>1989</v>
      </c>
    </row>
    <row r="9" spans="1:21" x14ac:dyDescent="0.2">
      <c r="A9" s="4" t="s">
        <v>114</v>
      </c>
      <c r="B9">
        <f t="shared" si="0"/>
        <v>6</v>
      </c>
      <c r="C9" s="5" t="s">
        <v>18</v>
      </c>
      <c r="D9" t="s">
        <v>17</v>
      </c>
      <c r="E9" s="3">
        <v>25000</v>
      </c>
      <c r="F9" t="s">
        <v>78</v>
      </c>
      <c r="H9" t="s">
        <v>54</v>
      </c>
      <c r="I9">
        <v>2001</v>
      </c>
    </row>
    <row r="10" spans="1:21" x14ac:dyDescent="0.2">
      <c r="B10">
        <f t="shared" si="0"/>
        <v>7</v>
      </c>
      <c r="C10" t="s">
        <v>7</v>
      </c>
      <c r="D10" t="s">
        <v>14</v>
      </c>
      <c r="E10" s="3">
        <v>160000</v>
      </c>
      <c r="F10" t="s">
        <v>78</v>
      </c>
      <c r="H10" t="s">
        <v>34</v>
      </c>
      <c r="I10">
        <v>1975</v>
      </c>
    </row>
    <row r="11" spans="1:21" x14ac:dyDescent="0.2">
      <c r="B11">
        <f t="shared" si="0"/>
        <v>8</v>
      </c>
      <c r="C11" t="s">
        <v>6</v>
      </c>
      <c r="D11" t="s">
        <v>13</v>
      </c>
      <c r="E11" s="3">
        <v>460393.92020300002</v>
      </c>
      <c r="F11" t="s">
        <v>41</v>
      </c>
      <c r="H11" t="s">
        <v>33</v>
      </c>
      <c r="I11">
        <v>2000</v>
      </c>
    </row>
    <row r="12" spans="1:21" x14ac:dyDescent="0.2">
      <c r="B12">
        <f t="shared" si="0"/>
        <v>9</v>
      </c>
      <c r="C12" t="s">
        <v>8</v>
      </c>
      <c r="D12" t="s">
        <v>16</v>
      </c>
      <c r="E12" s="3">
        <v>60000</v>
      </c>
      <c r="F12" t="s">
        <v>41</v>
      </c>
      <c r="H12" t="s">
        <v>33</v>
      </c>
      <c r="I12">
        <v>1988</v>
      </c>
    </row>
    <row r="13" spans="1:21" x14ac:dyDescent="0.2">
      <c r="B13">
        <f t="shared" si="0"/>
        <v>10</v>
      </c>
      <c r="C13" s="5" t="s">
        <v>190</v>
      </c>
      <c r="D13" t="s">
        <v>191</v>
      </c>
      <c r="E13" s="3">
        <v>209000</v>
      </c>
      <c r="F13" t="s">
        <v>192</v>
      </c>
    </row>
    <row r="14" spans="1:21" x14ac:dyDescent="0.2">
      <c r="B14">
        <f t="shared" si="0"/>
        <v>11</v>
      </c>
      <c r="C14" t="s">
        <v>9</v>
      </c>
      <c r="D14" t="s">
        <v>15</v>
      </c>
      <c r="E14" s="3">
        <v>143000</v>
      </c>
      <c r="F14" t="s">
        <v>107</v>
      </c>
      <c r="H14" t="s">
        <v>35</v>
      </c>
      <c r="I14">
        <v>1998</v>
      </c>
    </row>
    <row r="15" spans="1:21" x14ac:dyDescent="0.2">
      <c r="B15">
        <f t="shared" si="0"/>
        <v>12</v>
      </c>
      <c r="C15" s="5" t="s">
        <v>124</v>
      </c>
      <c r="D15" t="s">
        <v>108</v>
      </c>
      <c r="E15" s="3">
        <v>60000</v>
      </c>
      <c r="F15" t="s">
        <v>41</v>
      </c>
      <c r="I15" t="s">
        <v>115</v>
      </c>
    </row>
    <row r="16" spans="1:21" x14ac:dyDescent="0.2">
      <c r="B16">
        <f t="shared" si="0"/>
        <v>13</v>
      </c>
      <c r="C16" s="5" t="s">
        <v>129</v>
      </c>
      <c r="D16" t="s">
        <v>128</v>
      </c>
      <c r="E16" s="3">
        <v>6900</v>
      </c>
      <c r="F16" t="s">
        <v>130</v>
      </c>
      <c r="H16" t="s">
        <v>33</v>
      </c>
      <c r="I16">
        <v>1985</v>
      </c>
    </row>
    <row r="17" spans="2:9" x14ac:dyDescent="0.2">
      <c r="B17">
        <f t="shared" si="0"/>
        <v>14</v>
      </c>
      <c r="C17" s="5" t="s">
        <v>125</v>
      </c>
      <c r="D17" t="s">
        <v>19</v>
      </c>
      <c r="E17" s="3">
        <v>76100</v>
      </c>
      <c r="F17" t="s">
        <v>78</v>
      </c>
      <c r="H17" t="s">
        <v>148</v>
      </c>
      <c r="I17">
        <v>1977</v>
      </c>
    </row>
    <row r="18" spans="2:9" x14ac:dyDescent="0.2">
      <c r="B18">
        <f t="shared" si="0"/>
        <v>15</v>
      </c>
      <c r="C18" t="s">
        <v>21</v>
      </c>
      <c r="D18" t="s">
        <v>22</v>
      </c>
      <c r="E18" s="3">
        <v>11930</v>
      </c>
      <c r="F18" t="s">
        <v>77</v>
      </c>
      <c r="G18" s="3" t="s">
        <v>105</v>
      </c>
      <c r="H18" t="s">
        <v>33</v>
      </c>
      <c r="I18">
        <v>2003</v>
      </c>
    </row>
    <row r="19" spans="2:9" x14ac:dyDescent="0.2">
      <c r="B19">
        <f t="shared" si="0"/>
        <v>16</v>
      </c>
      <c r="C19" t="s">
        <v>23</v>
      </c>
      <c r="D19" t="s">
        <v>24</v>
      </c>
      <c r="E19" s="3">
        <v>23000</v>
      </c>
      <c r="F19" t="s">
        <v>100</v>
      </c>
      <c r="H19" t="s">
        <v>33</v>
      </c>
      <c r="I19">
        <v>1970</v>
      </c>
    </row>
    <row r="20" spans="2:9" x14ac:dyDescent="0.2">
      <c r="B20">
        <f t="shared" si="0"/>
        <v>17</v>
      </c>
      <c r="C20" s="5" t="s">
        <v>25</v>
      </c>
      <c r="D20" t="s">
        <v>28</v>
      </c>
      <c r="E20" s="3">
        <v>9058.9147479999992</v>
      </c>
      <c r="F20" t="s">
        <v>78</v>
      </c>
      <c r="G20" s="3" t="s">
        <v>104</v>
      </c>
      <c r="H20" t="s">
        <v>33</v>
      </c>
      <c r="I20">
        <v>1995</v>
      </c>
    </row>
    <row r="21" spans="2:9" x14ac:dyDescent="0.2">
      <c r="B21">
        <f t="shared" si="0"/>
        <v>18</v>
      </c>
      <c r="C21" t="s">
        <v>30</v>
      </c>
      <c r="D21" t="s">
        <v>39</v>
      </c>
      <c r="F21" t="s">
        <v>40</v>
      </c>
      <c r="H21" t="s">
        <v>38</v>
      </c>
      <c r="I21">
        <v>2007</v>
      </c>
    </row>
    <row r="22" spans="2:9" x14ac:dyDescent="0.2">
      <c r="B22">
        <f t="shared" si="0"/>
        <v>19</v>
      </c>
      <c r="C22" s="5" t="s">
        <v>181</v>
      </c>
      <c r="D22" t="s">
        <v>178</v>
      </c>
      <c r="E22" s="3">
        <v>1500</v>
      </c>
      <c r="F22" t="s">
        <v>179</v>
      </c>
      <c r="H22" t="s">
        <v>180</v>
      </c>
      <c r="I22">
        <v>2024</v>
      </c>
    </row>
    <row r="23" spans="2:9" x14ac:dyDescent="0.2">
      <c r="B23">
        <f t="shared" si="0"/>
        <v>20</v>
      </c>
      <c r="C23" t="s">
        <v>61</v>
      </c>
      <c r="D23" t="s">
        <v>102</v>
      </c>
      <c r="E23" s="3">
        <v>23000</v>
      </c>
      <c r="F23" t="s">
        <v>41</v>
      </c>
    </row>
    <row r="24" spans="2:9" x14ac:dyDescent="0.2">
      <c r="B24">
        <f t="shared" si="0"/>
        <v>21</v>
      </c>
      <c r="C24" t="s">
        <v>62</v>
      </c>
      <c r="D24" t="s">
        <v>63</v>
      </c>
      <c r="E24" s="3">
        <v>1600</v>
      </c>
      <c r="F24" t="s">
        <v>135</v>
      </c>
    </row>
    <row r="25" spans="2:9" x14ac:dyDescent="0.2">
      <c r="B25">
        <f t="shared" si="0"/>
        <v>22</v>
      </c>
      <c r="C25" t="s">
        <v>65</v>
      </c>
      <c r="D25" t="s">
        <v>66</v>
      </c>
      <c r="E25" s="3">
        <v>24000</v>
      </c>
      <c r="F25" t="s">
        <v>131</v>
      </c>
    </row>
    <row r="26" spans="2:9" x14ac:dyDescent="0.2">
      <c r="B26">
        <f t="shared" si="0"/>
        <v>23</v>
      </c>
      <c r="C26" s="5" t="s">
        <v>71</v>
      </c>
      <c r="D26" t="s">
        <v>67</v>
      </c>
      <c r="F26" t="s">
        <v>100</v>
      </c>
    </row>
    <row r="27" spans="2:9" x14ac:dyDescent="0.2">
      <c r="B27">
        <f t="shared" si="0"/>
        <v>24</v>
      </c>
      <c r="C27" t="s">
        <v>70</v>
      </c>
      <c r="D27" t="s">
        <v>68</v>
      </c>
      <c r="E27" s="3">
        <v>5570</v>
      </c>
      <c r="F27" t="s">
        <v>82</v>
      </c>
    </row>
    <row r="28" spans="2:9" x14ac:dyDescent="0.2">
      <c r="B28">
        <f t="shared" si="0"/>
        <v>25</v>
      </c>
      <c r="C28" t="s">
        <v>194</v>
      </c>
      <c r="D28" t="s">
        <v>195</v>
      </c>
      <c r="E28" s="3">
        <v>6000</v>
      </c>
      <c r="F28" t="s">
        <v>196</v>
      </c>
      <c r="H28" t="s">
        <v>134</v>
      </c>
    </row>
    <row r="29" spans="2:9" x14ac:dyDescent="0.2">
      <c r="B29">
        <f t="shared" si="0"/>
        <v>26</v>
      </c>
      <c r="C29" t="s">
        <v>72</v>
      </c>
      <c r="D29" t="s">
        <v>69</v>
      </c>
      <c r="E29" s="3">
        <v>15000</v>
      </c>
      <c r="F29" t="s">
        <v>77</v>
      </c>
    </row>
    <row r="30" spans="2:9" x14ac:dyDescent="0.2">
      <c r="B30">
        <f t="shared" si="0"/>
        <v>27</v>
      </c>
      <c r="C30" t="s">
        <v>74</v>
      </c>
      <c r="D30" t="s">
        <v>79</v>
      </c>
      <c r="E30" s="3">
        <v>12600</v>
      </c>
      <c r="F30" t="s">
        <v>83</v>
      </c>
    </row>
    <row r="31" spans="2:9" x14ac:dyDescent="0.2">
      <c r="B31">
        <f t="shared" si="0"/>
        <v>28</v>
      </c>
      <c r="C31" t="s">
        <v>75</v>
      </c>
      <c r="D31" t="s">
        <v>112</v>
      </c>
      <c r="E31" s="3">
        <v>11000</v>
      </c>
    </row>
    <row r="32" spans="2:9" x14ac:dyDescent="0.2">
      <c r="B32">
        <f t="shared" si="0"/>
        <v>29</v>
      </c>
      <c r="C32" t="s">
        <v>76</v>
      </c>
      <c r="D32" t="s">
        <v>109</v>
      </c>
      <c r="E32" s="3">
        <v>5300</v>
      </c>
      <c r="F32" t="s">
        <v>78</v>
      </c>
      <c r="H32" t="s">
        <v>134</v>
      </c>
    </row>
    <row r="33" spans="2:21" x14ac:dyDescent="0.2">
      <c r="B33">
        <f t="shared" si="0"/>
        <v>30</v>
      </c>
      <c r="C33" s="5" t="s">
        <v>91</v>
      </c>
      <c r="D33" t="s">
        <v>92</v>
      </c>
      <c r="E33" s="3">
        <v>14200</v>
      </c>
      <c r="F33" t="s">
        <v>177</v>
      </c>
    </row>
    <row r="34" spans="2:21" x14ac:dyDescent="0.2">
      <c r="B34">
        <f t="shared" si="0"/>
        <v>31</v>
      </c>
      <c r="C34" t="s">
        <v>51</v>
      </c>
      <c r="D34" t="s">
        <v>52</v>
      </c>
      <c r="I34">
        <v>2005</v>
      </c>
    </row>
    <row r="35" spans="2:21" x14ac:dyDescent="0.2">
      <c r="B35">
        <f t="shared" si="0"/>
        <v>32</v>
      </c>
      <c r="C35" s="5" t="s">
        <v>132</v>
      </c>
      <c r="D35" t="s">
        <v>133</v>
      </c>
      <c r="E35" s="3">
        <v>70000</v>
      </c>
      <c r="F35" t="s">
        <v>78</v>
      </c>
    </row>
    <row r="36" spans="2:21" x14ac:dyDescent="0.2">
      <c r="B36">
        <f t="shared" si="0"/>
        <v>33</v>
      </c>
      <c r="C36" s="5" t="s">
        <v>123</v>
      </c>
      <c r="D36" t="s">
        <v>57</v>
      </c>
      <c r="E36" s="3">
        <v>55900</v>
      </c>
      <c r="F36" t="s">
        <v>64</v>
      </c>
      <c r="I36">
        <v>2001</v>
      </c>
    </row>
    <row r="37" spans="2:21" x14ac:dyDescent="0.2">
      <c r="B37">
        <f t="shared" si="0"/>
        <v>34</v>
      </c>
      <c r="C37" s="5" t="s">
        <v>55</v>
      </c>
      <c r="D37" t="s">
        <v>122</v>
      </c>
      <c r="E37" s="3">
        <f>34000+15000</f>
        <v>49000</v>
      </c>
      <c r="F37" t="s">
        <v>78</v>
      </c>
    </row>
    <row r="38" spans="2:21" x14ac:dyDescent="0.2">
      <c r="B38">
        <f t="shared" si="0"/>
        <v>35</v>
      </c>
      <c r="C38" s="5" t="s">
        <v>110</v>
      </c>
      <c r="D38" t="s">
        <v>111</v>
      </c>
      <c r="F38" t="s">
        <v>113</v>
      </c>
      <c r="H38" t="s">
        <v>33</v>
      </c>
    </row>
    <row r="39" spans="2:21" x14ac:dyDescent="0.2">
      <c r="B39">
        <f t="shared" si="0"/>
        <v>36</v>
      </c>
      <c r="C39" s="5" t="s">
        <v>116</v>
      </c>
      <c r="D39" t="s">
        <v>117</v>
      </c>
      <c r="E39" s="3">
        <v>29000</v>
      </c>
      <c r="F39" t="s">
        <v>118</v>
      </c>
      <c r="H39" t="s">
        <v>33</v>
      </c>
      <c r="I39">
        <v>2006</v>
      </c>
    </row>
    <row r="40" spans="2:21" x14ac:dyDescent="0.2">
      <c r="B40">
        <f t="shared" si="0"/>
        <v>37</v>
      </c>
      <c r="C40" t="s">
        <v>136</v>
      </c>
      <c r="D40" t="s">
        <v>141</v>
      </c>
      <c r="F40" t="s">
        <v>142</v>
      </c>
    </row>
    <row r="41" spans="2:21" x14ac:dyDescent="0.2">
      <c r="B41">
        <f t="shared" si="0"/>
        <v>38</v>
      </c>
      <c r="C41" t="s">
        <v>147</v>
      </c>
      <c r="D41" t="s">
        <v>140</v>
      </c>
      <c r="F41" t="s">
        <v>142</v>
      </c>
      <c r="H41" t="s">
        <v>143</v>
      </c>
    </row>
    <row r="42" spans="2:21" x14ac:dyDescent="0.2">
      <c r="B42">
        <f t="shared" si="0"/>
        <v>39</v>
      </c>
      <c r="C42" s="5" t="s">
        <v>137</v>
      </c>
      <c r="D42" t="s">
        <v>139</v>
      </c>
      <c r="E42" s="3">
        <v>70000</v>
      </c>
      <c r="F42" t="s">
        <v>130</v>
      </c>
      <c r="H42" t="s">
        <v>143</v>
      </c>
      <c r="I42">
        <v>1997</v>
      </c>
      <c r="U42" s="11" t="s">
        <v>145</v>
      </c>
    </row>
    <row r="43" spans="2:21" x14ac:dyDescent="0.2">
      <c r="B43">
        <f t="shared" si="0"/>
        <v>40</v>
      </c>
      <c r="C43" s="5" t="s">
        <v>146</v>
      </c>
      <c r="D43" t="s">
        <v>138</v>
      </c>
      <c r="E43" s="3">
        <v>63000</v>
      </c>
      <c r="F43" t="s">
        <v>64</v>
      </c>
      <c r="H43" t="s">
        <v>143</v>
      </c>
      <c r="I43">
        <v>2003</v>
      </c>
    </row>
    <row r="44" spans="2:21" x14ac:dyDescent="0.2">
      <c r="B44">
        <f t="shared" si="0"/>
        <v>41</v>
      </c>
      <c r="C44" s="5" t="s">
        <v>149</v>
      </c>
      <c r="D44" t="s">
        <v>150</v>
      </c>
      <c r="E44" s="3">
        <v>8000</v>
      </c>
      <c r="F44" t="s">
        <v>151</v>
      </c>
    </row>
    <row r="45" spans="2:21" x14ac:dyDescent="0.2">
      <c r="B45">
        <f t="shared" si="0"/>
        <v>42</v>
      </c>
      <c r="C45" t="s">
        <v>56</v>
      </c>
    </row>
    <row r="46" spans="2:21" x14ac:dyDescent="0.2">
      <c r="B46">
        <f t="shared" si="0"/>
        <v>43</v>
      </c>
      <c r="C46" t="s">
        <v>59</v>
      </c>
    </row>
    <row r="47" spans="2:21" x14ac:dyDescent="0.2">
      <c r="B47">
        <f t="shared" si="0"/>
        <v>44</v>
      </c>
      <c r="C47" t="s">
        <v>60</v>
      </c>
    </row>
    <row r="48" spans="2:21" x14ac:dyDescent="0.2">
      <c r="B48">
        <f t="shared" si="0"/>
        <v>45</v>
      </c>
      <c r="C48" t="s">
        <v>176</v>
      </c>
    </row>
    <row r="49" spans="1:21" x14ac:dyDescent="0.2">
      <c r="B49">
        <f t="shared" si="0"/>
        <v>46</v>
      </c>
      <c r="C49" t="s">
        <v>175</v>
      </c>
    </row>
    <row r="50" spans="1:21" x14ac:dyDescent="0.2">
      <c r="B50">
        <f t="shared" si="0"/>
        <v>47</v>
      </c>
      <c r="C50" t="s">
        <v>184</v>
      </c>
      <c r="D50" t="s">
        <v>185</v>
      </c>
      <c r="E50" s="3">
        <v>25000</v>
      </c>
      <c r="F50" t="s">
        <v>64</v>
      </c>
      <c r="H50" t="s">
        <v>186</v>
      </c>
    </row>
    <row r="51" spans="1:21" x14ac:dyDescent="0.2">
      <c r="B51">
        <f t="shared" si="0"/>
        <v>48</v>
      </c>
      <c r="C51" s="5" t="s">
        <v>187</v>
      </c>
      <c r="D51" t="s">
        <v>188</v>
      </c>
      <c r="E51" s="3">
        <v>12500</v>
      </c>
      <c r="F51" t="s">
        <v>64</v>
      </c>
      <c r="H51" t="s">
        <v>189</v>
      </c>
      <c r="I51">
        <v>1993</v>
      </c>
    </row>
    <row r="52" spans="1:21" x14ac:dyDescent="0.2">
      <c r="B52">
        <f t="shared" si="0"/>
        <v>49</v>
      </c>
      <c r="C52" s="5" t="s">
        <v>193</v>
      </c>
    </row>
    <row r="53" spans="1:21" s="7" customFormat="1" x14ac:dyDescent="0.2">
      <c r="A53" s="6"/>
      <c r="B53">
        <f t="shared" si="0"/>
        <v>50</v>
      </c>
      <c r="C53" s="7" t="s">
        <v>165</v>
      </c>
      <c r="D53" s="7" t="s">
        <v>166</v>
      </c>
      <c r="E53" s="8">
        <v>12000</v>
      </c>
      <c r="F53" s="7" t="s">
        <v>142</v>
      </c>
      <c r="G53" s="8"/>
      <c r="H53" s="7" t="s">
        <v>33</v>
      </c>
      <c r="I53" s="8" t="s">
        <v>167</v>
      </c>
      <c r="U53" s="12"/>
    </row>
    <row r="54" spans="1:21" x14ac:dyDescent="0.2">
      <c r="B54">
        <f t="shared" si="0"/>
        <v>51</v>
      </c>
    </row>
    <row r="55" spans="1:21" x14ac:dyDescent="0.2">
      <c r="B55">
        <f t="shared" si="0"/>
        <v>52</v>
      </c>
    </row>
    <row r="56" spans="1:21" x14ac:dyDescent="0.2">
      <c r="B56">
        <f t="shared" si="0"/>
        <v>53</v>
      </c>
    </row>
    <row r="57" spans="1:21" x14ac:dyDescent="0.2">
      <c r="B57">
        <f t="shared" si="0"/>
        <v>54</v>
      </c>
    </row>
    <row r="58" spans="1:21" x14ac:dyDescent="0.2">
      <c r="B58">
        <f t="shared" si="0"/>
        <v>55</v>
      </c>
    </row>
    <row r="59" spans="1:21" x14ac:dyDescent="0.2">
      <c r="B59">
        <f t="shared" si="0"/>
        <v>56</v>
      </c>
    </row>
    <row r="60" spans="1:21" x14ac:dyDescent="0.2">
      <c r="B60">
        <f t="shared" si="0"/>
        <v>57</v>
      </c>
    </row>
    <row r="61" spans="1:21" x14ac:dyDescent="0.2">
      <c r="B61">
        <f t="shared" si="0"/>
        <v>58</v>
      </c>
    </row>
    <row r="62" spans="1:21" x14ac:dyDescent="0.2">
      <c r="B62">
        <f t="shared" si="0"/>
        <v>59</v>
      </c>
    </row>
  </sheetData>
  <hyperlinks>
    <hyperlink ref="C20" r:id="rId1" xr:uid="{9DE38710-C5AD-4CFD-9B81-2F7128F7929C}"/>
    <hyperlink ref="C9" r:id="rId2" xr:uid="{7935BFE8-3C98-4A19-8F7E-27CAAD3CC503}"/>
    <hyperlink ref="C8" r:id="rId3" xr:uid="{C1641A9D-0E5C-4711-B7A8-FFE2C5AE70E8}"/>
    <hyperlink ref="C6" r:id="rId4" xr:uid="{E569942D-DA5E-4D3C-B8B1-C4CB3DDB33D0}"/>
    <hyperlink ref="C7" r:id="rId5" xr:uid="{2A3C1037-DBAD-4542-A968-F0D38A9CB974}"/>
    <hyperlink ref="C4" r:id="rId6" xr:uid="{7645077B-88FB-4D9B-A932-52F298ED456F}"/>
    <hyperlink ref="C38" r:id="rId7" xr:uid="{5391A624-F1E8-4762-966B-5E229382BACB}"/>
    <hyperlink ref="C26" r:id="rId8" xr:uid="{B0294BDD-FC38-4CCF-A719-A178B351C402}"/>
    <hyperlink ref="C39" r:id="rId9" xr:uid="{4F2E0672-E1BC-44B7-AB0C-93B63BCD298A}"/>
    <hyperlink ref="C37" r:id="rId10" xr:uid="{FE0313A9-BB51-480A-9D51-280E07721BF6}"/>
    <hyperlink ref="C33" r:id="rId11" xr:uid="{099CE244-0856-4389-981E-B3998F57F97C}"/>
    <hyperlink ref="C15" r:id="rId12" xr:uid="{3C16195E-F5F0-416F-81F5-DCB447FE1790}"/>
    <hyperlink ref="C16" r:id="rId13" xr:uid="{815A7320-26CD-4AB6-BCF9-08A7FF09F1BF}"/>
    <hyperlink ref="C36" r:id="rId14" xr:uid="{021D2772-1EDC-4800-AABF-1318658A3E17}"/>
    <hyperlink ref="C35" r:id="rId15" xr:uid="{21796C43-2E58-4F74-9B7D-32D2850A61BE}"/>
    <hyperlink ref="C42" r:id="rId16" xr:uid="{C2BD2047-D9DB-4AB7-BF7D-B891D8DDFC0E}"/>
    <hyperlink ref="U42" r:id="rId17" xr:uid="{2FB92701-996A-474C-AB21-351AE8B0C057}"/>
    <hyperlink ref="C43" r:id="rId18" display="TCI" xr:uid="{EA0ADBAF-32D0-483A-B118-EE5F491DC8DB}"/>
    <hyperlink ref="C17" r:id="rId19" xr:uid="{37C3A6B6-C936-45EE-8855-BBE2ECD779D3}"/>
    <hyperlink ref="C22" r:id="rId20" display="Situational Awareness" xr:uid="{FF5D7AC7-E8E3-435B-8297-275ACBB3B504}"/>
    <hyperlink ref="C13" r:id="rId21" xr:uid="{CC417C9E-70D7-4132-9B13-9A437B6FB030}"/>
    <hyperlink ref="C51" r:id="rId22" xr:uid="{6F3D0436-89F1-4B0B-BF30-0979F72C6428}"/>
    <hyperlink ref="C52" r:id="rId23" xr:uid="{78C7BB5F-91C4-4F1C-BD64-BA9946397BA8}"/>
  </hyperlinks>
  <pageMargins left="0.7" right="0.7" top="0.75" bottom="0.75" header="0.3" footer="0.3"/>
  <legacyDrawing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479DD-9B86-4814-B0D9-83EB83A460E7}">
  <dimension ref="B2:C4"/>
  <sheetViews>
    <sheetView zoomScale="145" zoomScaleNormal="145" workbookViewId="0">
      <selection activeCell="B5" sqref="B5"/>
    </sheetView>
  </sheetViews>
  <sheetFormatPr defaultRowHeight="12.75" x14ac:dyDescent="0.2"/>
  <sheetData>
    <row r="2" spans="2:3" x14ac:dyDescent="0.2">
      <c r="B2" t="s">
        <v>97</v>
      </c>
      <c r="C2" t="s">
        <v>98</v>
      </c>
    </row>
    <row r="3" spans="2:3" x14ac:dyDescent="0.2">
      <c r="B3" t="s">
        <v>182</v>
      </c>
    </row>
    <row r="4" spans="2:3" x14ac:dyDescent="0.2">
      <c r="B4" t="s">
        <v>183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E8C2B-FF9B-414B-BF11-1886CE4510C6}">
  <dimension ref="B2:E23"/>
  <sheetViews>
    <sheetView zoomScale="160" zoomScaleNormal="160" workbookViewId="0">
      <selection activeCell="D4" sqref="D4"/>
    </sheetView>
  </sheetViews>
  <sheetFormatPr defaultRowHeight="12.75" x14ac:dyDescent="0.2"/>
  <cols>
    <col min="1" max="1" width="1.85546875" customWidth="1"/>
    <col min="3" max="3" width="15.28515625" customWidth="1"/>
    <col min="4" max="4" width="14.140625" bestFit="1" customWidth="1"/>
  </cols>
  <sheetData>
    <row r="2" spans="2:5" x14ac:dyDescent="0.2">
      <c r="C2" t="s">
        <v>0</v>
      </c>
      <c r="D2" t="s">
        <v>84</v>
      </c>
      <c r="E2" t="s">
        <v>174</v>
      </c>
    </row>
    <row r="3" spans="2:5" x14ac:dyDescent="0.2">
      <c r="B3">
        <v>1</v>
      </c>
      <c r="C3" t="s">
        <v>86</v>
      </c>
      <c r="D3" t="s">
        <v>173</v>
      </c>
    </row>
    <row r="4" spans="2:5" x14ac:dyDescent="0.2">
      <c r="B4">
        <f>1+B3</f>
        <v>2</v>
      </c>
      <c r="C4" t="s">
        <v>85</v>
      </c>
    </row>
    <row r="5" spans="2:5" x14ac:dyDescent="0.2">
      <c r="B5">
        <f t="shared" ref="B5:B23" si="0">1+B4</f>
        <v>3</v>
      </c>
      <c r="C5" t="s">
        <v>172</v>
      </c>
    </row>
    <row r="6" spans="2:5" x14ac:dyDescent="0.2">
      <c r="B6">
        <f t="shared" si="0"/>
        <v>4</v>
      </c>
      <c r="C6" t="s">
        <v>87</v>
      </c>
    </row>
    <row r="7" spans="2:5" x14ac:dyDescent="0.2">
      <c r="B7">
        <f t="shared" si="0"/>
        <v>5</v>
      </c>
      <c r="C7" t="s">
        <v>88</v>
      </c>
    </row>
    <row r="8" spans="2:5" x14ac:dyDescent="0.2">
      <c r="B8">
        <f t="shared" si="0"/>
        <v>6</v>
      </c>
      <c r="C8" t="s">
        <v>89</v>
      </c>
    </row>
    <row r="9" spans="2:5" x14ac:dyDescent="0.2">
      <c r="B9">
        <f t="shared" si="0"/>
        <v>7</v>
      </c>
      <c r="C9" t="s">
        <v>90</v>
      </c>
    </row>
    <row r="10" spans="2:5" x14ac:dyDescent="0.2">
      <c r="B10">
        <f t="shared" si="0"/>
        <v>8</v>
      </c>
      <c r="C10" t="s">
        <v>126</v>
      </c>
    </row>
    <row r="11" spans="2:5" x14ac:dyDescent="0.2">
      <c r="B11">
        <f t="shared" si="0"/>
        <v>9</v>
      </c>
      <c r="C11" t="s">
        <v>127</v>
      </c>
    </row>
    <row r="12" spans="2:5" x14ac:dyDescent="0.2">
      <c r="B12">
        <f t="shared" si="0"/>
        <v>10</v>
      </c>
      <c r="C12" t="s">
        <v>154</v>
      </c>
    </row>
    <row r="13" spans="2:5" x14ac:dyDescent="0.2">
      <c r="B13">
        <f t="shared" si="0"/>
        <v>11</v>
      </c>
      <c r="C13" t="s">
        <v>160</v>
      </c>
    </row>
    <row r="14" spans="2:5" x14ac:dyDescent="0.2">
      <c r="B14">
        <f t="shared" si="0"/>
        <v>12</v>
      </c>
      <c r="C14" t="s">
        <v>161</v>
      </c>
    </row>
    <row r="15" spans="2:5" x14ac:dyDescent="0.2">
      <c r="B15">
        <f t="shared" si="0"/>
        <v>13</v>
      </c>
      <c r="C15" t="s">
        <v>162</v>
      </c>
    </row>
    <row r="16" spans="2:5" x14ac:dyDescent="0.2">
      <c r="B16">
        <f t="shared" si="0"/>
        <v>14</v>
      </c>
      <c r="C16" t="s">
        <v>168</v>
      </c>
    </row>
    <row r="17" spans="2:2" x14ac:dyDescent="0.2">
      <c r="B17">
        <f t="shared" si="0"/>
        <v>15</v>
      </c>
    </row>
    <row r="18" spans="2:2" x14ac:dyDescent="0.2">
      <c r="B18">
        <f t="shared" si="0"/>
        <v>16</v>
      </c>
    </row>
    <row r="19" spans="2:2" x14ac:dyDescent="0.2">
      <c r="B19">
        <f t="shared" si="0"/>
        <v>17</v>
      </c>
    </row>
    <row r="20" spans="2:2" x14ac:dyDescent="0.2">
      <c r="B20">
        <f t="shared" si="0"/>
        <v>18</v>
      </c>
    </row>
    <row r="21" spans="2:2" x14ac:dyDescent="0.2">
      <c r="B21">
        <f t="shared" si="0"/>
        <v>19</v>
      </c>
    </row>
    <row r="22" spans="2:2" x14ac:dyDescent="0.2">
      <c r="B22">
        <f t="shared" si="0"/>
        <v>20</v>
      </c>
    </row>
    <row r="23" spans="2:2" x14ac:dyDescent="0.2">
      <c r="B23">
        <f t="shared" si="0"/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849A7-3CBC-472F-85F9-15025730BD12}">
  <dimension ref="B2:G17"/>
  <sheetViews>
    <sheetView zoomScale="145" zoomScaleNormal="145" workbookViewId="0">
      <selection activeCell="D3" sqref="D3"/>
    </sheetView>
  </sheetViews>
  <sheetFormatPr defaultRowHeight="12.75" x14ac:dyDescent="0.2"/>
  <cols>
    <col min="1" max="1" width="1.7109375" customWidth="1"/>
    <col min="3" max="3" width="19.5703125" bestFit="1" customWidth="1"/>
    <col min="4" max="4" width="12.7109375" bestFit="1" customWidth="1"/>
    <col min="5" max="5" width="12.7109375" style="9" bestFit="1" customWidth="1"/>
    <col min="7" max="7" width="10" bestFit="1" customWidth="1"/>
  </cols>
  <sheetData>
    <row r="2" spans="2:7" x14ac:dyDescent="0.2">
      <c r="C2" t="s">
        <v>97</v>
      </c>
      <c r="D2" t="s">
        <v>98</v>
      </c>
      <c r="E2" s="9" t="s">
        <v>2</v>
      </c>
      <c r="F2" t="s">
        <v>155</v>
      </c>
      <c r="G2" t="s">
        <v>156</v>
      </c>
    </row>
    <row r="3" spans="2:7" x14ac:dyDescent="0.2">
      <c r="B3">
        <v>1</v>
      </c>
      <c r="C3" t="s">
        <v>93</v>
      </c>
      <c r="D3" s="9" t="s">
        <v>159</v>
      </c>
      <c r="G3" t="s">
        <v>78</v>
      </c>
    </row>
    <row r="4" spans="2:7" x14ac:dyDescent="0.2">
      <c r="B4">
        <f>1+B3</f>
        <v>2</v>
      </c>
      <c r="C4" t="s">
        <v>94</v>
      </c>
      <c r="G4" t="s">
        <v>78</v>
      </c>
    </row>
    <row r="5" spans="2:7" x14ac:dyDescent="0.2">
      <c r="B5">
        <f t="shared" ref="B5:B17" si="0">1+B4</f>
        <v>3</v>
      </c>
      <c r="C5" t="s">
        <v>95</v>
      </c>
      <c r="G5" t="s">
        <v>78</v>
      </c>
    </row>
    <row r="6" spans="2:7" x14ac:dyDescent="0.2">
      <c r="B6">
        <f t="shared" si="0"/>
        <v>4</v>
      </c>
      <c r="C6" t="s">
        <v>96</v>
      </c>
      <c r="G6" t="s">
        <v>157</v>
      </c>
    </row>
    <row r="7" spans="2:7" x14ac:dyDescent="0.2">
      <c r="B7">
        <f t="shared" si="0"/>
        <v>5</v>
      </c>
      <c r="C7" t="s">
        <v>119</v>
      </c>
      <c r="E7" s="9">
        <v>258000</v>
      </c>
      <c r="G7" t="s">
        <v>78</v>
      </c>
    </row>
    <row r="8" spans="2:7" x14ac:dyDescent="0.2">
      <c r="B8">
        <f t="shared" si="0"/>
        <v>6</v>
      </c>
      <c r="C8" t="s">
        <v>152</v>
      </c>
      <c r="G8" t="s">
        <v>157</v>
      </c>
    </row>
    <row r="9" spans="2:7" x14ac:dyDescent="0.2">
      <c r="B9">
        <f t="shared" si="0"/>
        <v>7</v>
      </c>
      <c r="C9" t="s">
        <v>121</v>
      </c>
    </row>
    <row r="10" spans="2:7" x14ac:dyDescent="0.2">
      <c r="B10">
        <f t="shared" si="0"/>
        <v>8</v>
      </c>
      <c r="C10" t="s">
        <v>153</v>
      </c>
    </row>
    <row r="11" spans="2:7" x14ac:dyDescent="0.2">
      <c r="B11">
        <f t="shared" si="0"/>
        <v>9</v>
      </c>
      <c r="C11" t="s">
        <v>120</v>
      </c>
      <c r="G11" t="s">
        <v>83</v>
      </c>
    </row>
    <row r="12" spans="2:7" x14ac:dyDescent="0.2">
      <c r="B12">
        <f t="shared" si="0"/>
        <v>10</v>
      </c>
      <c r="C12" t="s">
        <v>158</v>
      </c>
    </row>
    <row r="13" spans="2:7" x14ac:dyDescent="0.2">
      <c r="B13">
        <f t="shared" si="0"/>
        <v>11</v>
      </c>
      <c r="C13" t="s">
        <v>163</v>
      </c>
      <c r="E13" s="9">
        <v>56000</v>
      </c>
    </row>
    <row r="14" spans="2:7" x14ac:dyDescent="0.2">
      <c r="B14">
        <f t="shared" si="0"/>
        <v>12</v>
      </c>
      <c r="C14" t="s">
        <v>164</v>
      </c>
      <c r="G14" t="s">
        <v>157</v>
      </c>
    </row>
    <row r="15" spans="2:7" x14ac:dyDescent="0.2">
      <c r="B15">
        <f t="shared" si="0"/>
        <v>13</v>
      </c>
    </row>
    <row r="16" spans="2:7" x14ac:dyDescent="0.2">
      <c r="B16">
        <f t="shared" si="0"/>
        <v>14</v>
      </c>
    </row>
    <row r="17" spans="2:2" x14ac:dyDescent="0.2">
      <c r="B17">
        <f t="shared" si="0"/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029E1-1CBC-4BB5-9F72-DC136DB264B9}">
  <dimension ref="B2:E12"/>
  <sheetViews>
    <sheetView zoomScale="205" zoomScaleNormal="205" workbookViewId="0"/>
  </sheetViews>
  <sheetFormatPr defaultRowHeight="12.75" x14ac:dyDescent="0.2"/>
  <cols>
    <col min="3" max="3" width="11.85546875" bestFit="1" customWidth="1"/>
  </cols>
  <sheetData>
    <row r="2" spans="2:5" x14ac:dyDescent="0.2">
      <c r="C2" t="s">
        <v>0</v>
      </c>
      <c r="D2" t="s">
        <v>169</v>
      </c>
      <c r="E2" t="s">
        <v>171</v>
      </c>
    </row>
    <row r="3" spans="2:5" x14ac:dyDescent="0.2">
      <c r="B3">
        <v>1</v>
      </c>
      <c r="C3" t="s">
        <v>170</v>
      </c>
    </row>
    <row r="4" spans="2:5" x14ac:dyDescent="0.2">
      <c r="B4">
        <f>1+B3</f>
        <v>2</v>
      </c>
    </row>
    <row r="5" spans="2:5" x14ac:dyDescent="0.2">
      <c r="B5">
        <f t="shared" ref="B5:B12" si="0">1+B4</f>
        <v>3</v>
      </c>
    </row>
    <row r="6" spans="2:5" x14ac:dyDescent="0.2">
      <c r="B6">
        <f t="shared" si="0"/>
        <v>4</v>
      </c>
    </row>
    <row r="7" spans="2:5" x14ac:dyDescent="0.2">
      <c r="B7">
        <f t="shared" si="0"/>
        <v>5</v>
      </c>
    </row>
    <row r="8" spans="2:5" x14ac:dyDescent="0.2">
      <c r="B8">
        <f t="shared" si="0"/>
        <v>6</v>
      </c>
    </row>
    <row r="9" spans="2:5" x14ac:dyDescent="0.2">
      <c r="B9">
        <f t="shared" si="0"/>
        <v>7</v>
      </c>
    </row>
    <row r="10" spans="2:5" x14ac:dyDescent="0.2">
      <c r="B10">
        <f t="shared" si="0"/>
        <v>8</v>
      </c>
    </row>
    <row r="11" spans="2:5" x14ac:dyDescent="0.2">
      <c r="B11">
        <f t="shared" si="0"/>
        <v>9</v>
      </c>
    </row>
    <row r="12" spans="2:5" x14ac:dyDescent="0.2">
      <c r="B12">
        <f t="shared" si="0"/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HF</vt:lpstr>
      <vt:lpstr>MF</vt:lpstr>
      <vt:lpstr>IB</vt:lpstr>
      <vt:lpstr>PE</vt:lpstr>
      <vt:lpstr>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Bhatia, Soham</dc:creator>
  <cp:lastModifiedBy>Bhatia, Soham</cp:lastModifiedBy>
  <dcterms:created xsi:type="dcterms:W3CDTF">2025-04-02T14:00:34Z</dcterms:created>
  <dcterms:modified xsi:type="dcterms:W3CDTF">2026-01-24T05:47:54Z</dcterms:modified>
</cp:coreProperties>
</file>